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g.vo\Desktop\"/>
    </mc:Choice>
  </mc:AlternateContent>
  <bookViews>
    <workbookView xWindow="0" yWindow="0" windowWidth="15640" windowHeight="6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D27" i="1"/>
  <c r="C26" i="1"/>
  <c r="D26" i="1"/>
  <c r="C25" i="1"/>
  <c r="D25" i="1"/>
  <c r="C24" i="1"/>
  <c r="D24" i="1"/>
  <c r="C23" i="1"/>
  <c r="D23" i="1"/>
  <c r="C22" i="1"/>
  <c r="D22" i="1"/>
  <c r="C21" i="1"/>
  <c r="D21" i="1"/>
  <c r="C20" i="1"/>
  <c r="D20" i="1"/>
  <c r="C19" i="1"/>
  <c r="D19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/>
  <c r="I29" i="1"/>
  <c r="J29" i="1"/>
  <c r="I30" i="1"/>
  <c r="J30" i="1" s="1"/>
  <c r="I31" i="1"/>
  <c r="J31" i="1"/>
  <c r="I32" i="1"/>
  <c r="J32" i="1"/>
  <c r="I33" i="1"/>
  <c r="J33" i="1"/>
  <c r="I34" i="1"/>
  <c r="J34" i="1" s="1"/>
  <c r="I35" i="1"/>
  <c r="J35" i="1"/>
  <c r="I36" i="1"/>
  <c r="J36" i="1"/>
  <c r="I37" i="1"/>
  <c r="J37" i="1"/>
  <c r="C18" i="1"/>
  <c r="D18" i="1"/>
  <c r="I17" i="1"/>
  <c r="J17" i="1" s="1"/>
  <c r="C17" i="1"/>
  <c r="D17" i="1"/>
  <c r="C16" i="1"/>
  <c r="D16" i="1"/>
  <c r="C15" i="1"/>
  <c r="D15" i="1"/>
  <c r="C14" i="1"/>
  <c r="D14" i="1"/>
  <c r="C13" i="1"/>
  <c r="D13" i="1"/>
  <c r="C12" i="1"/>
  <c r="D12" i="1"/>
  <c r="G2" i="1"/>
  <c r="C11" i="1"/>
  <c r="D11" i="1"/>
  <c r="C10" i="1"/>
  <c r="D10" i="1"/>
  <c r="C9" i="1"/>
  <c r="D9" i="1"/>
  <c r="C8" i="1"/>
  <c r="D8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/>
  <c r="I14" i="1"/>
  <c r="J14" i="1" s="1"/>
  <c r="I15" i="1"/>
  <c r="J15" i="1" s="1"/>
  <c r="I16" i="1"/>
  <c r="J16" i="1" s="1"/>
  <c r="I7" i="1"/>
  <c r="J7" i="1" s="1"/>
  <c r="C7" i="1"/>
  <c r="D7" i="1"/>
  <c r="I6" i="1"/>
  <c r="J6" i="1" s="1"/>
  <c r="I5" i="1"/>
  <c r="J5" i="1" s="1"/>
  <c r="H2" i="1"/>
  <c r="I4" i="1"/>
  <c r="J4" i="1" s="1"/>
  <c r="J3" i="1"/>
  <c r="I3" i="1"/>
  <c r="B2" i="1"/>
  <c r="C4" i="1"/>
  <c r="D4" i="1"/>
  <c r="C5" i="1"/>
  <c r="D5" i="1"/>
  <c r="C6" i="1"/>
  <c r="D6" i="1"/>
  <c r="D3" i="1"/>
  <c r="C3" i="1"/>
  <c r="I2" i="1" l="1"/>
  <c r="J2" i="1"/>
  <c r="D2" i="1"/>
  <c r="C2" i="1"/>
  <c r="K2" i="1" l="1"/>
  <c r="L2" i="1" s="1"/>
</calcChain>
</file>

<file path=xl/sharedStrings.xml><?xml version="1.0" encoding="utf-8"?>
<sst xmlns="http://schemas.openxmlformats.org/spreadsheetml/2006/main" count="10" uniqueCount="10">
  <si>
    <t>Month</t>
  </si>
  <si>
    <t>VND</t>
  </si>
  <si>
    <t>SUM:</t>
  </si>
  <si>
    <t>Giá</t>
  </si>
  <si>
    <t>SL ETF</t>
  </si>
  <si>
    <t>Tiền con lại</t>
  </si>
  <si>
    <t>Tiền ~ETF</t>
  </si>
  <si>
    <t>NAV</t>
  </si>
  <si>
    <t>% ETF</t>
  </si>
  <si>
    <t>%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</si>
</sst>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pane ySplit="2" topLeftCell="A3" activePane="bottomLeft" state="frozen"/>
      <selection pane="bottomLeft" activeCell="L11" sqref="L11"/>
    </sheetView>
  </sheetViews>
  <sheetFormatPr defaultRowHeight="14.5" x14ac:dyDescent="0.35"/>
  <cols>
    <col min="2" max="4" width="8.7265625" style="3"/>
  </cols>
  <sheetData>
    <row r="1" spans="1:12" x14ac:dyDescent="0.35">
      <c r="A1" t="s">
        <v>0</v>
      </c>
      <c r="B1" s="3" t="s">
        <v>1</v>
      </c>
      <c r="C1">
        <v>0.8</v>
      </c>
      <c r="D1">
        <v>0.2</v>
      </c>
      <c r="G1" t="s">
        <v>3</v>
      </c>
      <c r="H1" t="s">
        <v>4</v>
      </c>
      <c r="I1" t="s">
        <v>6</v>
      </c>
      <c r="J1" t="s">
        <v>5</v>
      </c>
      <c r="K1" t="s">
        <v>8</v>
      </c>
      <c r="L1" t="s">
        <v>9</v>
      </c>
    </row>
    <row r="2" spans="1:12" x14ac:dyDescent="0.35">
      <c r="A2" s="2" t="s">
        <v>2</v>
      </c>
      <c r="B2" s="4">
        <f>SUM(B3:B1048576)</f>
        <v>163000</v>
      </c>
      <c r="C2" s="4">
        <f>SUM(C3:C1048576)</f>
        <v>130400</v>
      </c>
      <c r="D2" s="4">
        <f>SUM(D3:D1048576)</f>
        <v>32600</v>
      </c>
      <c r="F2" s="1" t="s">
        <v>7</v>
      </c>
      <c r="G2" s="1">
        <f>LOOKUP(2,1/(G:G&lt;&gt;""),G:G)</f>
        <v>12</v>
      </c>
      <c r="H2" s="4">
        <f t="shared" ref="H2" si="0">SUM(H3:H1048576)</f>
        <v>14400</v>
      </c>
      <c r="I2" s="4">
        <f>G2*H2</f>
        <v>172800</v>
      </c>
      <c r="J2" s="4">
        <f>SUM(J3:J1048576)</f>
        <v>39750</v>
      </c>
      <c r="K2" s="5">
        <f>I2/(I2+J2)</f>
        <v>0.81298517995765707</v>
      </c>
      <c r="L2" s="6">
        <f>1-K2</f>
        <v>0.18701482004234293</v>
      </c>
    </row>
    <row r="3" spans="1:12" x14ac:dyDescent="0.35">
      <c r="A3">
        <v>1</v>
      </c>
      <c r="B3" s="3">
        <v>5000</v>
      </c>
      <c r="C3" s="3">
        <f>B3*$C$1</f>
        <v>4000</v>
      </c>
      <c r="D3" s="3">
        <f>B3*$D$1</f>
        <v>1000</v>
      </c>
      <c r="G3">
        <v>13.5</v>
      </c>
      <c r="H3">
        <v>300</v>
      </c>
      <c r="I3">
        <f>G3*H3</f>
        <v>4050</v>
      </c>
      <c r="J3" s="3">
        <f>B3-I3</f>
        <v>950</v>
      </c>
    </row>
    <row r="4" spans="1:12" x14ac:dyDescent="0.35">
      <c r="A4">
        <v>2</v>
      </c>
      <c r="B4" s="3">
        <v>5000</v>
      </c>
      <c r="C4" s="3">
        <f t="shared" ref="C4:C27" si="1">B4*$C$1</f>
        <v>4000</v>
      </c>
      <c r="D4" s="3">
        <f t="shared" ref="D4:D27" si="2">B4*$D$1</f>
        <v>1000</v>
      </c>
      <c r="G4">
        <v>12</v>
      </c>
      <c r="H4">
        <v>300</v>
      </c>
      <c r="I4">
        <f t="shared" ref="I4" si="3">G4*H4</f>
        <v>3600</v>
      </c>
      <c r="J4" s="3">
        <f>B4-I4</f>
        <v>1400</v>
      </c>
    </row>
    <row r="5" spans="1:12" x14ac:dyDescent="0.35">
      <c r="A5">
        <v>3</v>
      </c>
      <c r="B5" s="3">
        <v>5000</v>
      </c>
      <c r="C5" s="3">
        <f t="shared" si="1"/>
        <v>4000</v>
      </c>
      <c r="D5" s="3">
        <f t="shared" si="2"/>
        <v>1000</v>
      </c>
      <c r="G5">
        <v>11</v>
      </c>
      <c r="H5">
        <v>400</v>
      </c>
      <c r="I5">
        <f t="shared" ref="I5:I6" si="4">G5*H5</f>
        <v>4400</v>
      </c>
      <c r="J5" s="3">
        <f>B5-I5</f>
        <v>600</v>
      </c>
    </row>
    <row r="6" spans="1:12" x14ac:dyDescent="0.35">
      <c r="A6">
        <v>4</v>
      </c>
      <c r="B6" s="3">
        <v>7000</v>
      </c>
      <c r="C6" s="3">
        <f t="shared" si="1"/>
        <v>5600</v>
      </c>
      <c r="D6" s="3">
        <f t="shared" si="2"/>
        <v>1400</v>
      </c>
      <c r="G6">
        <v>12</v>
      </c>
      <c r="H6">
        <v>400</v>
      </c>
      <c r="I6">
        <f t="shared" ref="I6:I7" si="5">G6*H6</f>
        <v>4800</v>
      </c>
      <c r="J6" s="3">
        <f>B6-I6</f>
        <v>2200</v>
      </c>
    </row>
    <row r="7" spans="1:12" x14ac:dyDescent="0.35">
      <c r="A7">
        <v>5</v>
      </c>
      <c r="B7" s="3">
        <v>8000</v>
      </c>
      <c r="C7" s="3">
        <f t="shared" si="1"/>
        <v>6400</v>
      </c>
      <c r="D7" s="3">
        <f t="shared" si="2"/>
        <v>1600</v>
      </c>
      <c r="G7">
        <v>10</v>
      </c>
      <c r="H7">
        <v>800</v>
      </c>
      <c r="I7">
        <f t="shared" si="5"/>
        <v>8000</v>
      </c>
      <c r="J7" s="3">
        <f>B7-I7</f>
        <v>0</v>
      </c>
    </row>
    <row r="8" spans="1:12" x14ac:dyDescent="0.35">
      <c r="A8">
        <v>6</v>
      </c>
      <c r="B8" s="3">
        <v>5000</v>
      </c>
      <c r="C8" s="3">
        <f t="shared" si="1"/>
        <v>4000</v>
      </c>
      <c r="D8" s="3">
        <f t="shared" si="2"/>
        <v>1000</v>
      </c>
      <c r="G8">
        <v>9.5</v>
      </c>
      <c r="H8">
        <v>400</v>
      </c>
      <c r="I8">
        <f t="shared" ref="I8:I17" si="6">G8*H8</f>
        <v>3800</v>
      </c>
      <c r="J8" s="3">
        <f t="shared" ref="J8:J17" si="7">B8-I8</f>
        <v>1200</v>
      </c>
    </row>
    <row r="9" spans="1:12" x14ac:dyDescent="0.35">
      <c r="A9">
        <v>7</v>
      </c>
      <c r="B9" s="3">
        <v>6000</v>
      </c>
      <c r="C9" s="3">
        <f t="shared" si="1"/>
        <v>4800</v>
      </c>
      <c r="D9" s="3">
        <f t="shared" si="2"/>
        <v>1200</v>
      </c>
      <c r="G9">
        <v>10.5</v>
      </c>
      <c r="H9">
        <v>400</v>
      </c>
      <c r="I9">
        <f t="shared" si="6"/>
        <v>4200</v>
      </c>
      <c r="J9" s="3">
        <f t="shared" si="7"/>
        <v>1800</v>
      </c>
    </row>
    <row r="10" spans="1:12" x14ac:dyDescent="0.35">
      <c r="A10">
        <v>8</v>
      </c>
      <c r="B10" s="3">
        <v>8000</v>
      </c>
      <c r="C10" s="3">
        <f t="shared" si="1"/>
        <v>6400</v>
      </c>
      <c r="D10" s="3">
        <f t="shared" si="2"/>
        <v>1600</v>
      </c>
      <c r="G10">
        <v>9</v>
      </c>
      <c r="H10">
        <v>800</v>
      </c>
      <c r="I10">
        <f t="shared" si="6"/>
        <v>7200</v>
      </c>
      <c r="J10" s="3">
        <f t="shared" si="7"/>
        <v>800</v>
      </c>
    </row>
    <row r="11" spans="1:12" x14ac:dyDescent="0.35">
      <c r="A11">
        <v>9</v>
      </c>
      <c r="B11" s="3">
        <v>5000</v>
      </c>
      <c r="C11" s="3">
        <f t="shared" si="1"/>
        <v>4000</v>
      </c>
      <c r="D11" s="3">
        <f t="shared" si="2"/>
        <v>1000</v>
      </c>
      <c r="G11">
        <v>10</v>
      </c>
      <c r="H11">
        <v>400</v>
      </c>
      <c r="I11">
        <f t="shared" si="6"/>
        <v>4000</v>
      </c>
      <c r="J11" s="3">
        <f t="shared" si="7"/>
        <v>1000</v>
      </c>
    </row>
    <row r="12" spans="1:12" x14ac:dyDescent="0.35">
      <c r="A12">
        <v>10</v>
      </c>
      <c r="B12" s="3">
        <v>6000</v>
      </c>
      <c r="C12" s="3">
        <f t="shared" si="1"/>
        <v>4800</v>
      </c>
      <c r="D12" s="3">
        <f t="shared" si="2"/>
        <v>1200</v>
      </c>
      <c r="G12">
        <v>11</v>
      </c>
      <c r="H12">
        <v>300</v>
      </c>
      <c r="I12">
        <f t="shared" si="6"/>
        <v>3300</v>
      </c>
      <c r="J12" s="3">
        <f t="shared" si="7"/>
        <v>2700</v>
      </c>
    </row>
    <row r="13" spans="1:12" x14ac:dyDescent="0.35">
      <c r="A13">
        <v>11</v>
      </c>
      <c r="B13" s="3">
        <v>7000</v>
      </c>
      <c r="C13" s="3">
        <f t="shared" si="1"/>
        <v>5600</v>
      </c>
      <c r="D13" s="3">
        <f t="shared" si="2"/>
        <v>1400</v>
      </c>
      <c r="G13">
        <v>12</v>
      </c>
      <c r="H13">
        <v>500</v>
      </c>
      <c r="I13">
        <f t="shared" si="6"/>
        <v>6000</v>
      </c>
      <c r="J13" s="3">
        <f t="shared" si="7"/>
        <v>1000</v>
      </c>
    </row>
    <row r="14" spans="1:12" x14ac:dyDescent="0.35">
      <c r="A14">
        <v>12</v>
      </c>
      <c r="B14" s="3">
        <v>5000</v>
      </c>
      <c r="C14" s="3">
        <f t="shared" si="1"/>
        <v>4000</v>
      </c>
      <c r="D14" s="3">
        <f t="shared" si="2"/>
        <v>1000</v>
      </c>
      <c r="G14">
        <v>14</v>
      </c>
      <c r="H14">
        <v>100</v>
      </c>
      <c r="I14">
        <f t="shared" si="6"/>
        <v>1400</v>
      </c>
      <c r="J14" s="3">
        <f t="shared" si="7"/>
        <v>3600</v>
      </c>
    </row>
    <row r="15" spans="1:12" x14ac:dyDescent="0.35">
      <c r="A15">
        <v>13</v>
      </c>
      <c r="B15" s="3">
        <v>7000</v>
      </c>
      <c r="C15" s="3">
        <f t="shared" si="1"/>
        <v>5600</v>
      </c>
      <c r="D15" s="3">
        <f t="shared" si="2"/>
        <v>1400</v>
      </c>
      <c r="G15">
        <v>10</v>
      </c>
      <c r="H15">
        <v>1000</v>
      </c>
      <c r="I15">
        <f t="shared" si="6"/>
        <v>10000</v>
      </c>
      <c r="J15" s="3">
        <f t="shared" si="7"/>
        <v>-3000</v>
      </c>
    </row>
    <row r="16" spans="1:12" x14ac:dyDescent="0.35">
      <c r="A16">
        <v>14</v>
      </c>
      <c r="B16" s="3">
        <v>7000</v>
      </c>
      <c r="C16" s="3">
        <f t="shared" si="1"/>
        <v>5600</v>
      </c>
      <c r="D16" s="3">
        <f t="shared" si="2"/>
        <v>1400</v>
      </c>
      <c r="G16">
        <v>8</v>
      </c>
      <c r="H16">
        <v>900</v>
      </c>
      <c r="I16">
        <f t="shared" si="6"/>
        <v>7200</v>
      </c>
      <c r="J16" s="3">
        <f t="shared" si="7"/>
        <v>-200</v>
      </c>
    </row>
    <row r="17" spans="1:10" x14ac:dyDescent="0.35">
      <c r="A17">
        <v>15</v>
      </c>
      <c r="B17" s="3">
        <v>7000</v>
      </c>
      <c r="C17" s="3">
        <f t="shared" si="1"/>
        <v>5600</v>
      </c>
      <c r="D17" s="3">
        <f t="shared" si="2"/>
        <v>1400</v>
      </c>
      <c r="F17">
        <v>6</v>
      </c>
      <c r="G17">
        <v>6</v>
      </c>
      <c r="H17">
        <v>1400</v>
      </c>
      <c r="I17">
        <f t="shared" si="6"/>
        <v>8400</v>
      </c>
      <c r="J17" s="3">
        <f t="shared" si="7"/>
        <v>-1400</v>
      </c>
    </row>
    <row r="18" spans="1:10" x14ac:dyDescent="0.35">
      <c r="A18">
        <v>16</v>
      </c>
      <c r="B18" s="3">
        <v>7000</v>
      </c>
      <c r="C18" s="3">
        <f t="shared" si="1"/>
        <v>5600</v>
      </c>
      <c r="D18" s="3">
        <f t="shared" si="2"/>
        <v>1400</v>
      </c>
      <c r="F18">
        <v>6</v>
      </c>
      <c r="G18">
        <v>6</v>
      </c>
      <c r="H18">
        <v>900</v>
      </c>
      <c r="I18">
        <f t="shared" ref="I18:I37" si="8">G18*H18</f>
        <v>5400</v>
      </c>
      <c r="J18" s="3">
        <f t="shared" ref="J18:J37" si="9">B18-I18</f>
        <v>1600</v>
      </c>
    </row>
    <row r="19" spans="1:10" x14ac:dyDescent="0.35">
      <c r="A19">
        <v>17</v>
      </c>
      <c r="B19" s="3">
        <v>7000</v>
      </c>
      <c r="C19" s="3">
        <f t="shared" si="1"/>
        <v>5600</v>
      </c>
      <c r="D19" s="3">
        <f t="shared" si="2"/>
        <v>1400</v>
      </c>
      <c r="F19">
        <v>7</v>
      </c>
      <c r="G19">
        <v>7</v>
      </c>
      <c r="H19">
        <v>600</v>
      </c>
      <c r="I19">
        <f t="shared" si="8"/>
        <v>4200</v>
      </c>
      <c r="J19" s="3">
        <f t="shared" si="9"/>
        <v>2800</v>
      </c>
    </row>
    <row r="20" spans="1:10" x14ac:dyDescent="0.35">
      <c r="A20">
        <v>18</v>
      </c>
      <c r="B20" s="3">
        <v>7000</v>
      </c>
      <c r="C20" s="3">
        <f t="shared" si="1"/>
        <v>5600</v>
      </c>
      <c r="D20" s="3">
        <f t="shared" si="2"/>
        <v>1400</v>
      </c>
      <c r="F20">
        <v>6</v>
      </c>
      <c r="G20">
        <v>6</v>
      </c>
      <c r="H20">
        <v>1200</v>
      </c>
      <c r="I20">
        <f t="shared" si="8"/>
        <v>7200</v>
      </c>
      <c r="J20" s="3">
        <f t="shared" si="9"/>
        <v>-200</v>
      </c>
    </row>
    <row r="21" spans="1:10" x14ac:dyDescent="0.35">
      <c r="A21">
        <v>19</v>
      </c>
      <c r="B21" s="3">
        <v>7000</v>
      </c>
      <c r="C21" s="3">
        <f t="shared" si="1"/>
        <v>5600</v>
      </c>
      <c r="D21" s="3">
        <f t="shared" si="2"/>
        <v>1400</v>
      </c>
      <c r="F21">
        <v>6</v>
      </c>
      <c r="G21">
        <v>6</v>
      </c>
      <c r="H21">
        <v>1000</v>
      </c>
      <c r="I21">
        <f t="shared" si="8"/>
        <v>6000</v>
      </c>
      <c r="J21" s="3">
        <f t="shared" si="9"/>
        <v>1000</v>
      </c>
    </row>
    <row r="22" spans="1:10" x14ac:dyDescent="0.35">
      <c r="A22">
        <v>20</v>
      </c>
      <c r="B22" s="3">
        <v>7000</v>
      </c>
      <c r="C22" s="3">
        <f t="shared" si="1"/>
        <v>5600</v>
      </c>
      <c r="D22" s="3">
        <f t="shared" si="2"/>
        <v>1400</v>
      </c>
      <c r="F22">
        <v>7</v>
      </c>
      <c r="G22">
        <v>7</v>
      </c>
      <c r="H22">
        <v>400</v>
      </c>
      <c r="I22">
        <f t="shared" si="8"/>
        <v>2800</v>
      </c>
      <c r="J22" s="3">
        <f t="shared" si="9"/>
        <v>4200</v>
      </c>
    </row>
    <row r="23" spans="1:10" x14ac:dyDescent="0.35">
      <c r="A23">
        <v>21</v>
      </c>
      <c r="B23" s="3">
        <v>7000</v>
      </c>
      <c r="C23" s="3">
        <f t="shared" si="1"/>
        <v>5600</v>
      </c>
      <c r="D23" s="3">
        <f t="shared" si="2"/>
        <v>1400</v>
      </c>
      <c r="F23">
        <v>8</v>
      </c>
      <c r="G23">
        <v>8</v>
      </c>
      <c r="H23">
        <v>400</v>
      </c>
      <c r="I23">
        <f t="shared" si="8"/>
        <v>3200</v>
      </c>
      <c r="J23" s="3">
        <f t="shared" si="9"/>
        <v>3800</v>
      </c>
    </row>
    <row r="24" spans="1:10" x14ac:dyDescent="0.35">
      <c r="A24">
        <v>22</v>
      </c>
      <c r="B24" s="3">
        <v>7000</v>
      </c>
      <c r="C24" s="3">
        <f t="shared" si="1"/>
        <v>5600</v>
      </c>
      <c r="D24" s="3">
        <f t="shared" si="2"/>
        <v>1400</v>
      </c>
      <c r="F24">
        <v>10</v>
      </c>
      <c r="G24">
        <v>10</v>
      </c>
      <c r="H24">
        <v>0</v>
      </c>
      <c r="I24">
        <f t="shared" si="8"/>
        <v>0</v>
      </c>
      <c r="J24" s="3">
        <f t="shared" si="9"/>
        <v>7000</v>
      </c>
    </row>
    <row r="25" spans="1:10" x14ac:dyDescent="0.35">
      <c r="A25">
        <v>23</v>
      </c>
      <c r="B25" s="3">
        <v>7000</v>
      </c>
      <c r="C25" s="3">
        <f t="shared" si="1"/>
        <v>5600</v>
      </c>
      <c r="D25" s="3">
        <f t="shared" si="2"/>
        <v>1400</v>
      </c>
      <c r="F25">
        <v>11</v>
      </c>
      <c r="G25">
        <v>11</v>
      </c>
      <c r="H25">
        <v>300</v>
      </c>
      <c r="I25">
        <f t="shared" si="8"/>
        <v>3300</v>
      </c>
      <c r="J25" s="3">
        <f t="shared" si="9"/>
        <v>3700</v>
      </c>
    </row>
    <row r="26" spans="1:10" x14ac:dyDescent="0.35">
      <c r="A26">
        <v>24</v>
      </c>
      <c r="B26" s="3">
        <v>7000</v>
      </c>
      <c r="C26" s="3">
        <f t="shared" si="1"/>
        <v>5600</v>
      </c>
      <c r="D26" s="3">
        <f t="shared" si="2"/>
        <v>1400</v>
      </c>
      <c r="F26">
        <v>12</v>
      </c>
      <c r="G26">
        <v>9</v>
      </c>
      <c r="H26">
        <v>1200</v>
      </c>
      <c r="I26">
        <f t="shared" si="8"/>
        <v>10800</v>
      </c>
      <c r="J26" s="3">
        <f t="shared" si="9"/>
        <v>-3800</v>
      </c>
    </row>
    <row r="27" spans="1:10" x14ac:dyDescent="0.35">
      <c r="A27">
        <v>25</v>
      </c>
      <c r="B27" s="3">
        <v>7000</v>
      </c>
      <c r="C27" s="3">
        <f t="shared" si="1"/>
        <v>5600</v>
      </c>
      <c r="D27" s="3">
        <f t="shared" si="2"/>
        <v>1400</v>
      </c>
      <c r="G27">
        <v>12</v>
      </c>
      <c r="H27">
        <v>0</v>
      </c>
      <c r="I27">
        <f t="shared" si="8"/>
        <v>0</v>
      </c>
      <c r="J27" s="3">
        <f t="shared" si="9"/>
        <v>7000</v>
      </c>
    </row>
    <row r="28" spans="1:10" x14ac:dyDescent="0.35">
      <c r="I28">
        <f t="shared" si="8"/>
        <v>0</v>
      </c>
      <c r="J28" s="3">
        <f t="shared" si="9"/>
        <v>0</v>
      </c>
    </row>
    <row r="29" spans="1:10" x14ac:dyDescent="0.35">
      <c r="I29">
        <f t="shared" si="8"/>
        <v>0</v>
      </c>
      <c r="J29" s="3">
        <f t="shared" si="9"/>
        <v>0</v>
      </c>
    </row>
    <row r="30" spans="1:10" x14ac:dyDescent="0.35">
      <c r="I30">
        <f t="shared" si="8"/>
        <v>0</v>
      </c>
      <c r="J30" s="3">
        <f t="shared" si="9"/>
        <v>0</v>
      </c>
    </row>
    <row r="31" spans="1:10" x14ac:dyDescent="0.35">
      <c r="I31">
        <f t="shared" si="8"/>
        <v>0</v>
      </c>
      <c r="J31" s="3">
        <f t="shared" si="9"/>
        <v>0</v>
      </c>
    </row>
    <row r="32" spans="1:10" x14ac:dyDescent="0.35">
      <c r="I32">
        <f t="shared" si="8"/>
        <v>0</v>
      </c>
      <c r="J32" s="3">
        <f t="shared" si="9"/>
        <v>0</v>
      </c>
    </row>
    <row r="33" spans="9:10" x14ac:dyDescent="0.35">
      <c r="I33">
        <f t="shared" si="8"/>
        <v>0</v>
      </c>
      <c r="J33" s="3">
        <f t="shared" si="9"/>
        <v>0</v>
      </c>
    </row>
    <row r="34" spans="9:10" x14ac:dyDescent="0.35">
      <c r="I34">
        <f t="shared" si="8"/>
        <v>0</v>
      </c>
      <c r="J34" s="3">
        <f t="shared" si="9"/>
        <v>0</v>
      </c>
    </row>
    <row r="35" spans="9:10" x14ac:dyDescent="0.35">
      <c r="I35">
        <f t="shared" si="8"/>
        <v>0</v>
      </c>
      <c r="J35" s="3">
        <f t="shared" si="9"/>
        <v>0</v>
      </c>
    </row>
    <row r="36" spans="9:10" x14ac:dyDescent="0.35">
      <c r="I36">
        <f t="shared" si="8"/>
        <v>0</v>
      </c>
      <c r="J36" s="3">
        <f t="shared" si="9"/>
        <v>0</v>
      </c>
    </row>
    <row r="37" spans="9:10" x14ac:dyDescent="0.35">
      <c r="I37">
        <f t="shared" si="8"/>
        <v>0</v>
      </c>
      <c r="J37" s="3">
        <f t="shared" si="9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cong.vo</dc:creator>
  <cp:lastModifiedBy>cong.vo</cp:lastModifiedBy>
  <dcterms:created xsi:type="dcterms:W3CDTF">2026-05-14T04:07:47Z</dcterms:created>
  <dcterms:modified xsi:type="dcterms:W3CDTF">2026-05-14T07:52:51Z</dcterms:modified>
</cp:coreProperties>
</file>